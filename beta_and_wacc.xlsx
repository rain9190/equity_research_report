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waiy/Documents/"/>
    </mc:Choice>
  </mc:AlternateContent>
  <xr:revisionPtr revIDLastSave="0" documentId="8_{7BE70C7F-6B07-B842-B5B0-941880044D3B}" xr6:coauthVersionLast="47" xr6:coauthVersionMax="47" xr10:uidLastSave="{00000000-0000-0000-0000-000000000000}"/>
  <bookViews>
    <workbookView xWindow="0" yWindow="660" windowWidth="29400" windowHeight="18460" activeTab="1" xr2:uid="{BDB322E8-15DE-E042-8387-9211D7226722}"/>
  </bookViews>
  <sheets>
    <sheet name="Beta" sheetId="2" r:id="rId1"/>
    <sheet name="WAC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1" i="1"/>
  <c r="F10" i="1"/>
  <c r="C11" i="1"/>
</calcChain>
</file>

<file path=xl/sharedStrings.xml><?xml version="1.0" encoding="utf-8"?>
<sst xmlns="http://schemas.openxmlformats.org/spreadsheetml/2006/main" count="47" uniqueCount="47">
  <si>
    <t>Cost of Capital</t>
  </si>
  <si>
    <t>(in Rs. Lakh)</t>
  </si>
  <si>
    <t>Equity Value</t>
  </si>
  <si>
    <t>Risk Free Rate</t>
  </si>
  <si>
    <t>Total Debt</t>
  </si>
  <si>
    <t>Bottom-up Beta</t>
  </si>
  <si>
    <t>Tax Rate</t>
  </si>
  <si>
    <t>Mature ERP</t>
  </si>
  <si>
    <t>Lambda</t>
  </si>
  <si>
    <t>Cost of Debt (Pre-Tax)</t>
  </si>
  <si>
    <t>Country Risk</t>
  </si>
  <si>
    <t>% of Debt</t>
  </si>
  <si>
    <t>Cost of Equity</t>
  </si>
  <si>
    <t>% of Equity</t>
  </si>
  <si>
    <t>WACC</t>
  </si>
  <si>
    <t>Company Name</t>
  </si>
  <si>
    <t>Beta</t>
  </si>
  <si>
    <t>Debt-Equity</t>
  </si>
  <si>
    <t>Indian Hotels Company Ltd. (Taj Group)</t>
  </si>
  <si>
    <t>ITC Hotels Ltd. (Demerged entity from ITC)</t>
  </si>
  <si>
    <t>EIH Ltd. (Oberoi Group Flagship)</t>
  </si>
  <si>
    <t>Chalet Hotels Ltd.</t>
  </si>
  <si>
    <t>Lemon Tree Hotels Ltd.</t>
  </si>
  <si>
    <t>Mahindra Holidays &amp; Resorts India Ltd.</t>
  </si>
  <si>
    <t>Juniper Hotels Ltd.</t>
  </si>
  <si>
    <t>SAMHI Hotels Limited</t>
  </si>
  <si>
    <t>Royal Orchid Hotels Ltd.</t>
  </si>
  <si>
    <t>Apeejay Surrendra Park Hotels Ltd. (The Park Hotels)</t>
  </si>
  <si>
    <t>India Tourism Development Corporation Ltd.</t>
  </si>
  <si>
    <t>Ventive Hospitality Limited</t>
  </si>
  <si>
    <t>Taj GVK Hotels &amp; Resorts Ltd.</t>
  </si>
  <si>
    <t>Oriental Hotels Ltd. (Associate of IHCL)</t>
  </si>
  <si>
    <t>EIH Associated Hotels Ltd. (Associate of EIH)</t>
  </si>
  <si>
    <t>Advani Hotels &amp; Resorts (India) Ltd.</t>
  </si>
  <si>
    <t>HLV Ltd.</t>
  </si>
  <si>
    <t>Kamat Hotels (India) Ltd.</t>
  </si>
  <si>
    <t>Sinclairs Hotels Limited</t>
  </si>
  <si>
    <t>The Byke Hospitality Ltd.</t>
  </si>
  <si>
    <t>Country Club Hospitality &amp; Holidays Ltd.</t>
  </si>
  <si>
    <t>Apollo Sindoori Hotels Ltd.</t>
  </si>
  <si>
    <t>Viceroy Hotels Ltd.</t>
  </si>
  <si>
    <t>Asian Hotels (East) Ltd.</t>
  </si>
  <si>
    <t>TGB Banquets and Hotels Ltd.</t>
  </si>
  <si>
    <t>Unlevered Beta (Tax rate = 0.30)</t>
  </si>
  <si>
    <t>Lemon Tree Hotels Ltd. (D/E ratio)</t>
  </si>
  <si>
    <t>Lemon Tree Hotels Ltd, (Tax rate)</t>
  </si>
  <si>
    <t>Levered Beta (LTHL)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</si>
</sst>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scheme val="minor"/>
    </font>
    <font>
      <sz val="14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42C1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FE2B4"/>
        <bgColor rgb="FF000000"/>
      </patternFill>
    </fill>
    <fill>
      <patternFill patternType="solid">
        <fgColor rgb="FFE2C7C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readingOrder="1"/>
    </xf>
    <xf numFmtId="10" fontId="2" fillId="0" borderId="0" xfId="0" applyNumberFormat="1" applyFont="1" applyAlignment="1">
      <alignment readingOrder="1"/>
    </xf>
    <xf numFmtId="0" fontId="2" fillId="3" borderId="0" xfId="0" applyFont="1" applyFill="1" applyAlignment="1">
      <alignment readingOrder="1"/>
    </xf>
    <xf numFmtId="10" fontId="2" fillId="3" borderId="0" xfId="0" applyNumberFormat="1" applyFont="1" applyFill="1" applyAlignment="1">
      <alignment readingOrder="1"/>
    </xf>
    <xf numFmtId="10" fontId="2" fillId="4" borderId="1" xfId="0" applyNumberFormat="1" applyFont="1" applyFill="1" applyBorder="1" applyAlignment="1">
      <alignment readingOrder="1"/>
    </xf>
    <xf numFmtId="0" fontId="2" fillId="4" borderId="2" xfId="0" applyFont="1" applyFill="1" applyBorder="1" applyAlignment="1">
      <alignment readingOrder="1"/>
    </xf>
    <xf numFmtId="10" fontId="2" fillId="4" borderId="3" xfId="0" applyNumberFormat="1" applyFont="1" applyFill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10" fontId="2" fillId="4" borderId="5" xfId="0" applyNumberFormat="1" applyFont="1" applyFill="1" applyBorder="1" applyAlignment="1">
      <alignment readingOrder="1"/>
    </xf>
    <xf numFmtId="0" fontId="4" fillId="5" borderId="6" xfId="0" applyFont="1" applyFill="1" applyBorder="1"/>
    <xf numFmtId="0" fontId="2" fillId="5" borderId="6" xfId="0" applyFont="1" applyFill="1" applyBorder="1"/>
    <xf numFmtId="10" fontId="4" fillId="5" borderId="6" xfId="0" applyNumberFormat="1" applyFont="1" applyFill="1" applyBorder="1"/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readingOrder="1"/>
    </xf>
    <xf numFmtId="0" fontId="6" fillId="2" borderId="0" xfId="0" applyFont="1" applyFill="1" applyAlignment="1">
      <alignment readingOrder="1"/>
    </xf>
    <xf numFmtId="0" fontId="6" fillId="2" borderId="0" xfId="0" applyFont="1" applyFill="1" applyAlignment="1">
      <alignment horizontal="right" readingOrder="1"/>
    </xf>
    <xf numFmtId="0" fontId="5" fillId="0" borderId="0" xfId="0" applyFont="1" applyAlignment="1">
      <alignment horizontal="center" readingOrder="1"/>
    </xf>
    <xf numFmtId="0" fontId="5" fillId="0" borderId="0" xfId="0" applyFont="1" applyAlignment="1">
      <alignment readingOrder="1"/>
    </xf>
    <xf numFmtId="0" fontId="5" fillId="4" borderId="1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2" fillId="5" borderId="4" xfId="0" applyFont="1" applyFill="1" applyBorder="1" applyAlignment="1">
      <alignment readingOrder="1"/>
    </xf>
    <xf numFmtId="0" fontId="2" fillId="5" borderId="5" xfId="0" applyFont="1" applyFill="1" applyBorder="1" applyAlignment="1">
      <alignment readingOrder="1"/>
    </xf>
    <xf numFmtId="0" fontId="5" fillId="0" borderId="0" xfId="0" applyFont="1" applyAlignment="1">
      <alignment readingOrder="1"/>
    </xf>
    <xf numFmtId="0" fontId="5" fillId="0" borderId="7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7DB8-E009-104E-B775-03F0AE327871}">
  <dimension ref="B1:E34"/>
  <sheetViews>
    <sheetView showGridLines="0" zoomScale="120" zoomScaleNormal="120" workbookViewId="0">
      <selection activeCell="P23" sqref="P23"/>
    </sheetView>
  </sheetViews>
  <sheetFormatPr baseColWidth="10" defaultRowHeight="16" x14ac:dyDescent="0.2"/>
  <cols>
    <col min="1" max="1" width="1.6640625" customWidth="1"/>
    <col min="2" max="2" width="3.83203125" customWidth="1"/>
    <col min="3" max="3" width="46" customWidth="1"/>
    <col min="4" max="4" width="16" customWidth="1"/>
    <col min="5" max="5" width="15.5" customWidth="1"/>
  </cols>
  <sheetData>
    <row r="1" spans="2:5" ht="8" customHeight="1" x14ac:dyDescent="0.2"/>
    <row r="2" spans="2:5" x14ac:dyDescent="0.2">
      <c r="B2" s="17"/>
      <c r="C2" s="18" t="s">
        <v>15</v>
      </c>
      <c r="D2" s="19" t="s">
        <v>16</v>
      </c>
      <c r="E2" s="19" t="s">
        <v>17</v>
      </c>
    </row>
    <row r="3" spans="2:5" x14ac:dyDescent="0.2">
      <c r="B3" s="20">
        <v>1</v>
      </c>
      <c r="C3" s="21" t="s">
        <v>18</v>
      </c>
      <c r="D3" s="21">
        <v>0.88460000000000005</v>
      </c>
      <c r="E3" s="21">
        <v>0.28210000000000002</v>
      </c>
    </row>
    <row r="4" spans="2:5" x14ac:dyDescent="0.2">
      <c r="B4" s="20">
        <v>2</v>
      </c>
      <c r="C4" s="21" t="s">
        <v>19</v>
      </c>
      <c r="D4" s="21">
        <v>1.0142</v>
      </c>
      <c r="E4" s="21">
        <v>0.13339999999999999</v>
      </c>
    </row>
    <row r="5" spans="2:5" x14ac:dyDescent="0.2">
      <c r="B5" s="20">
        <v>3</v>
      </c>
      <c r="C5" s="21" t="s">
        <v>20</v>
      </c>
      <c r="D5" s="21">
        <v>0.91</v>
      </c>
      <c r="E5" s="21">
        <v>0.23089999999999999</v>
      </c>
    </row>
    <row r="6" spans="2:5" x14ac:dyDescent="0.2">
      <c r="B6" s="20">
        <v>4</v>
      </c>
      <c r="C6" s="21" t="s">
        <v>21</v>
      </c>
      <c r="D6" s="21">
        <v>0.70009999999999994</v>
      </c>
      <c r="E6" s="21">
        <v>0.87939999999999996</v>
      </c>
    </row>
    <row r="7" spans="2:5" x14ac:dyDescent="0.2">
      <c r="B7" s="20">
        <v>5</v>
      </c>
      <c r="C7" s="21" t="s">
        <v>22</v>
      </c>
      <c r="D7" s="21">
        <v>0.88100000000000001</v>
      </c>
      <c r="E7" s="21">
        <v>1.2</v>
      </c>
    </row>
    <row r="8" spans="2:5" x14ac:dyDescent="0.2">
      <c r="B8" s="20">
        <v>6</v>
      </c>
      <c r="C8" s="21" t="s">
        <v>23</v>
      </c>
      <c r="D8" s="21">
        <v>0.76910000000000001</v>
      </c>
      <c r="E8" s="21">
        <v>3.9689999999999999</v>
      </c>
    </row>
    <row r="9" spans="2:5" x14ac:dyDescent="0.2">
      <c r="B9" s="20">
        <v>7</v>
      </c>
      <c r="C9" s="21" t="s">
        <v>24</v>
      </c>
      <c r="D9" s="21">
        <v>0.80110000000000003</v>
      </c>
      <c r="E9" s="21">
        <v>0.41310000000000002</v>
      </c>
    </row>
    <row r="10" spans="2:5" x14ac:dyDescent="0.2">
      <c r="B10" s="20">
        <v>8</v>
      </c>
      <c r="C10" s="21" t="s">
        <v>25</v>
      </c>
      <c r="D10" s="21">
        <v>1.0521</v>
      </c>
      <c r="E10" s="21">
        <v>1.9669000000000001</v>
      </c>
    </row>
    <row r="11" spans="2:5" x14ac:dyDescent="0.2">
      <c r="B11" s="20">
        <v>9</v>
      </c>
      <c r="C11" s="21" t="s">
        <v>26</v>
      </c>
      <c r="D11" s="21">
        <v>1.0073000000000001</v>
      </c>
      <c r="E11" s="21">
        <v>1.0464</v>
      </c>
    </row>
    <row r="12" spans="2:5" x14ac:dyDescent="0.2">
      <c r="B12" s="20">
        <v>10</v>
      </c>
      <c r="C12" s="21" t="s">
        <v>27</v>
      </c>
      <c r="D12" s="21">
        <v>1.2085999999999999</v>
      </c>
      <c r="E12" s="21">
        <v>0.13059999999999999</v>
      </c>
    </row>
    <row r="13" spans="2:5" x14ac:dyDescent="0.2">
      <c r="B13" s="20">
        <v>11</v>
      </c>
      <c r="C13" s="21" t="s">
        <v>28</v>
      </c>
      <c r="D13" s="21">
        <v>1.4879</v>
      </c>
      <c r="E13" s="21">
        <v>0.3236</v>
      </c>
    </row>
    <row r="14" spans="2:5" x14ac:dyDescent="0.2">
      <c r="B14" s="20">
        <v>12</v>
      </c>
      <c r="C14" s="21" t="s">
        <v>29</v>
      </c>
      <c r="D14" s="21">
        <v>2.3464</v>
      </c>
      <c r="E14" s="21">
        <v>1.4049</v>
      </c>
    </row>
    <row r="15" spans="2:5" x14ac:dyDescent="0.2">
      <c r="B15" s="20">
        <v>13</v>
      </c>
      <c r="C15" s="21" t="s">
        <v>30</v>
      </c>
      <c r="D15" s="21">
        <v>0.4713</v>
      </c>
      <c r="E15" s="21">
        <v>0.19739999999999999</v>
      </c>
    </row>
    <row r="16" spans="2:5" x14ac:dyDescent="0.2">
      <c r="B16" s="20">
        <v>14</v>
      </c>
      <c r="C16" s="21" t="s">
        <v>31</v>
      </c>
      <c r="D16" s="21">
        <v>1.2808999999999999</v>
      </c>
      <c r="E16" s="21">
        <v>0.28739999999999999</v>
      </c>
    </row>
    <row r="17" spans="2:5" x14ac:dyDescent="0.2">
      <c r="B17" s="20">
        <v>15</v>
      </c>
      <c r="C17" s="21" t="s">
        <v>32</v>
      </c>
      <c r="D17" s="21">
        <v>1.1662999999999999</v>
      </c>
      <c r="E17" s="21">
        <v>5.5899999999999998E-2</v>
      </c>
    </row>
    <row r="18" spans="2:5" x14ac:dyDescent="0.2">
      <c r="B18" s="20">
        <v>16</v>
      </c>
      <c r="C18" s="21" t="s">
        <v>33</v>
      </c>
      <c r="D18" s="21">
        <v>1.1978</v>
      </c>
      <c r="E18" s="21">
        <v>8.3900000000000002E-2</v>
      </c>
    </row>
    <row r="19" spans="2:5" x14ac:dyDescent="0.2">
      <c r="B19" s="20">
        <v>17</v>
      </c>
      <c r="C19" s="21" t="s">
        <v>34</v>
      </c>
      <c r="D19" s="21">
        <v>0.66120000000000001</v>
      </c>
      <c r="E19" s="21">
        <v>8.7599999999999997E-2</v>
      </c>
    </row>
    <row r="20" spans="2:5" x14ac:dyDescent="0.2">
      <c r="B20" s="20">
        <v>18</v>
      </c>
      <c r="C20" s="21" t="s">
        <v>35</v>
      </c>
      <c r="D20" s="21">
        <v>0.84189999999999998</v>
      </c>
      <c r="E20" s="21">
        <v>0.73089999999999999</v>
      </c>
    </row>
    <row r="21" spans="2:5" x14ac:dyDescent="0.2">
      <c r="B21" s="20">
        <v>19</v>
      </c>
      <c r="C21" s="21" t="s">
        <v>36</v>
      </c>
      <c r="D21" s="21">
        <v>0.48730000000000001</v>
      </c>
      <c r="E21" s="21">
        <v>0.17749999999999999</v>
      </c>
    </row>
    <row r="22" spans="2:5" x14ac:dyDescent="0.2">
      <c r="B22" s="20">
        <v>20</v>
      </c>
      <c r="C22" s="21" t="s">
        <v>37</v>
      </c>
      <c r="D22" s="21">
        <v>1.5274000000000001</v>
      </c>
      <c r="E22" s="21">
        <v>0.48959999999999998</v>
      </c>
    </row>
    <row r="23" spans="2:5" x14ac:dyDescent="0.2">
      <c r="B23" s="20">
        <v>21</v>
      </c>
      <c r="C23" s="21" t="s">
        <v>38</v>
      </c>
      <c r="D23" s="21">
        <v>1.3058000000000001</v>
      </c>
      <c r="E23" s="21">
        <v>0.45190000000000002</v>
      </c>
    </row>
    <row r="24" spans="2:5" x14ac:dyDescent="0.2">
      <c r="B24" s="20">
        <v>22</v>
      </c>
      <c r="C24" s="21" t="s">
        <v>39</v>
      </c>
      <c r="D24" s="21">
        <v>0.67210000000000003</v>
      </c>
      <c r="E24" s="21">
        <v>0.64559999999999995</v>
      </c>
    </row>
    <row r="25" spans="2:5" x14ac:dyDescent="0.2">
      <c r="B25" s="20">
        <v>23</v>
      </c>
      <c r="C25" s="21" t="s">
        <v>40</v>
      </c>
      <c r="D25" s="21">
        <v>0.2351</v>
      </c>
      <c r="E25" s="21">
        <v>0.24610000000000001</v>
      </c>
    </row>
    <row r="26" spans="2:5" x14ac:dyDescent="0.2">
      <c r="B26" s="20">
        <v>24</v>
      </c>
      <c r="C26" s="21" t="s">
        <v>41</v>
      </c>
      <c r="D26" s="21">
        <v>-4.0000000000000001E-3</v>
      </c>
      <c r="E26" s="21">
        <v>1.4049</v>
      </c>
    </row>
    <row r="27" spans="2:5" x14ac:dyDescent="0.2">
      <c r="B27" s="20">
        <v>25</v>
      </c>
      <c r="C27" s="21" t="s">
        <v>42</v>
      </c>
      <c r="D27" s="21">
        <v>0.96719999999999995</v>
      </c>
      <c r="E27" s="21">
        <v>0.15129999999999999</v>
      </c>
    </row>
    <row r="28" spans="2:5" x14ac:dyDescent="0.2">
      <c r="B28" s="26"/>
      <c r="C28" s="27"/>
      <c r="D28" s="22">
        <v>0.95489999999999997</v>
      </c>
      <c r="E28" s="23">
        <v>0.67959999999999998</v>
      </c>
    </row>
    <row r="29" spans="2:5" x14ac:dyDescent="0.2">
      <c r="B29" s="26"/>
      <c r="C29" s="26"/>
      <c r="D29" s="21"/>
      <c r="E29" s="21"/>
    </row>
    <row r="30" spans="2:5" x14ac:dyDescent="0.2">
      <c r="B30" s="21"/>
      <c r="C30" s="21" t="s">
        <v>43</v>
      </c>
      <c r="D30" s="21">
        <v>0.64710000000000001</v>
      </c>
      <c r="E30" s="21"/>
    </row>
    <row r="31" spans="2:5" x14ac:dyDescent="0.2">
      <c r="B31" s="21"/>
      <c r="C31" s="21" t="s">
        <v>44</v>
      </c>
      <c r="D31" s="21">
        <v>1.2</v>
      </c>
      <c r="E31" s="21"/>
    </row>
    <row r="32" spans="2:5" x14ac:dyDescent="0.2">
      <c r="B32" s="21"/>
      <c r="C32" s="21" t="s">
        <v>45</v>
      </c>
      <c r="D32" s="21">
        <v>0.17910000000000001</v>
      </c>
      <c r="E32" s="21"/>
    </row>
    <row r="33" spans="2:5" x14ac:dyDescent="0.2">
      <c r="B33" s="26"/>
      <c r="C33" s="26"/>
      <c r="D33" s="21"/>
      <c r="E33" s="21"/>
    </row>
    <row r="34" spans="2:5" x14ac:dyDescent="0.2">
      <c r="B34" s="21"/>
      <c r="C34" s="24" t="s">
        <v>46</v>
      </c>
      <c r="D34" s="25">
        <v>1.2845</v>
      </c>
      <c r="E34" s="21"/>
    </row>
  </sheetData>
  <mergeCells count="3">
    <mergeCell ref="B28:C28"/>
    <mergeCell ref="B29:C29"/>
    <mergeCell ref="B33:C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B0C9-35FC-DF4A-8DF9-934D58751D58}">
  <dimension ref="B2:F13"/>
  <sheetViews>
    <sheetView showGridLines="0" tabSelected="1" zoomScale="150" workbookViewId="0">
      <selection activeCell="B5" sqref="B5"/>
    </sheetView>
  </sheetViews>
  <sheetFormatPr baseColWidth="10" defaultRowHeight="16" x14ac:dyDescent="0.2"/>
  <cols>
    <col min="1" max="1" width="3.6640625" customWidth="1"/>
    <col min="2" max="2" width="30.83203125" customWidth="1"/>
    <col min="4" max="4" width="8.5" customWidth="1"/>
    <col min="5" max="5" width="27.83203125" customWidth="1"/>
  </cols>
  <sheetData>
    <row r="2" spans="2:6" x14ac:dyDescent="0.2">
      <c r="B2" s="1" t="s">
        <v>0</v>
      </c>
      <c r="C2" s="1"/>
      <c r="D2" s="3"/>
      <c r="E2" s="3"/>
      <c r="F2" s="3"/>
    </row>
    <row r="3" spans="2:6" x14ac:dyDescent="0.2">
      <c r="B3" s="2"/>
      <c r="C3" s="2"/>
      <c r="D3" s="2"/>
      <c r="E3" s="2"/>
      <c r="F3" s="16" t="s">
        <v>1</v>
      </c>
    </row>
    <row r="4" spans="2:6" x14ac:dyDescent="0.2">
      <c r="B4" s="4" t="s">
        <v>2</v>
      </c>
      <c r="C4" s="4">
        <v>1294214</v>
      </c>
      <c r="D4" s="2"/>
      <c r="E4" s="2"/>
      <c r="F4" s="16"/>
    </row>
    <row r="5" spans="2:6" x14ac:dyDescent="0.2">
      <c r="B5" s="4" t="s">
        <v>3</v>
      </c>
      <c r="C5" s="5">
        <v>4.2799999999999998E-2</v>
      </c>
      <c r="D5" s="2"/>
      <c r="E5" s="6" t="s">
        <v>4</v>
      </c>
      <c r="F5" s="6">
        <v>214764.98</v>
      </c>
    </row>
    <row r="6" spans="2:6" x14ac:dyDescent="0.2">
      <c r="B6" s="4" t="s">
        <v>5</v>
      </c>
      <c r="C6" s="6">
        <v>1.2845</v>
      </c>
      <c r="D6" s="2"/>
      <c r="E6" s="6" t="s">
        <v>6</v>
      </c>
      <c r="F6" s="7">
        <v>0.17910000000000001</v>
      </c>
    </row>
    <row r="7" spans="2:6" x14ac:dyDescent="0.2">
      <c r="B7" s="4" t="s">
        <v>7</v>
      </c>
      <c r="C7" s="5">
        <v>4.3299999999999998E-2</v>
      </c>
      <c r="D7" s="2"/>
      <c r="E7" s="2"/>
      <c r="F7" s="2"/>
    </row>
    <row r="8" spans="2:6" x14ac:dyDescent="0.2">
      <c r="B8" s="4" t="s">
        <v>8</v>
      </c>
      <c r="C8" s="4">
        <v>1.3889</v>
      </c>
      <c r="D8" s="2"/>
      <c r="E8" s="6" t="s">
        <v>9</v>
      </c>
      <c r="F8" s="8">
        <v>7.2800000000000004E-2</v>
      </c>
    </row>
    <row r="9" spans="2:6" x14ac:dyDescent="0.2">
      <c r="B9" s="4" t="s">
        <v>10</v>
      </c>
      <c r="C9" s="5">
        <v>2.93E-2</v>
      </c>
      <c r="D9" s="2"/>
      <c r="E9" s="2"/>
      <c r="F9" s="2"/>
    </row>
    <row r="10" spans="2:6" x14ac:dyDescent="0.2">
      <c r="B10" s="2"/>
      <c r="C10" s="2"/>
      <c r="D10" s="2"/>
      <c r="E10" s="9" t="s">
        <v>11</v>
      </c>
      <c r="F10" s="10">
        <f>F5/(F5+C4)</f>
        <v>0.14232469957931423</v>
      </c>
    </row>
    <row r="11" spans="2:6" x14ac:dyDescent="0.2">
      <c r="B11" s="6" t="s">
        <v>12</v>
      </c>
      <c r="C11" s="8">
        <f>C5+(C6*C7)+(C8*C9)</f>
        <v>0.13911361999999999</v>
      </c>
      <c r="D11" s="2"/>
      <c r="E11" s="11" t="s">
        <v>13</v>
      </c>
      <c r="F11" s="12">
        <f>C4/(F5+C4)</f>
        <v>0.85767530042068574</v>
      </c>
    </row>
    <row r="12" spans="2:6" x14ac:dyDescent="0.2">
      <c r="B12" s="2"/>
      <c r="C12" s="2"/>
      <c r="D12" s="2"/>
      <c r="E12" s="2"/>
      <c r="F12" s="2"/>
    </row>
    <row r="13" spans="2:6" ht="19" x14ac:dyDescent="0.25">
      <c r="B13" s="13" t="s">
        <v>14</v>
      </c>
      <c r="C13" s="14"/>
      <c r="D13" s="14"/>
      <c r="E13" s="14"/>
      <c r="F13" s="15">
        <f>(F11*C11)+(F10*F8*(1-F6))</f>
        <v>0.12781985620651229</v>
      </c>
    </row>
  </sheetData>
  <mergeCells count="1"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Beta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adwaiyy11@gmail.com</dc:creator>
  <cp:lastModifiedBy>adwaiyy11@gmail.com</cp:lastModifiedBy>
  <dcterms:created xsi:type="dcterms:W3CDTF">2025-11-03T18:57:18Z</dcterms:created>
  <dcterms:modified xsi:type="dcterms:W3CDTF">2025-11-03T19:09:51Z</dcterms:modified>
</cp:coreProperties>
</file>