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/>
  <mc:AlternateContent xmlns:mc="http://schemas.openxmlformats.org/markup-compatibility/2006">
    <mc:Choice Requires="x15">
      <x15ac:absPath xmlns:x15ac="http://schemas.microsoft.com/office/spreadsheetml/2010/11/ac" url="/Users/adwaiy/Downloads/"/>
    </mc:Choice>
  </mc:AlternateContent>
  <xr:revisionPtr revIDLastSave="0" documentId="8_{052EB8E3-80DE-9D4F-A0E6-73A1D07BC6C6}" xr6:coauthVersionLast="47" xr6:coauthVersionMax="47" xr10:uidLastSave="{00000000-0000-0000-0000-000000000000}"/>
  <bookViews>
    <workbookView xWindow="0" yWindow="680" windowWidth="29400" windowHeight="16800" xr2:uid="{00000000-000D-0000-FFFF-FFFF00000000}"/>
  </bookViews>
  <sheets>
    <sheet name="FCF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J26" i="1"/>
  <c r="K26" i="1"/>
  <c r="L26" i="1"/>
  <c r="L27" i="1" s="1"/>
  <c r="M26" i="1"/>
  <c r="N26" i="1"/>
  <c r="N19" i="1" s="1"/>
  <c r="O26" i="1"/>
  <c r="O27" i="1" s="1"/>
  <c r="P26" i="1"/>
  <c r="Q26" i="1"/>
  <c r="R26" i="1"/>
  <c r="R19" i="1" s="1"/>
  <c r="I26" i="1"/>
  <c r="I27" i="1" s="1"/>
  <c r="I13" i="1"/>
  <c r="J13" i="1"/>
  <c r="K13" i="1"/>
  <c r="K14" i="1" s="1"/>
  <c r="L13" i="1"/>
  <c r="M13" i="1"/>
  <c r="M14" i="1" s="1"/>
  <c r="N13" i="1"/>
  <c r="N24" i="1" s="1"/>
  <c r="O13" i="1"/>
  <c r="P13" i="1"/>
  <c r="Q13" i="1"/>
  <c r="Q14" i="1" s="1"/>
  <c r="R13" i="1"/>
  <c r="R14" i="1" s="1"/>
  <c r="J27" i="1"/>
  <c r="P27" i="1"/>
  <c r="J24" i="1"/>
  <c r="L24" i="1"/>
  <c r="O24" i="1"/>
  <c r="P24" i="1"/>
  <c r="I24" i="1"/>
  <c r="P14" i="1"/>
  <c r="J14" i="1"/>
  <c r="I14" i="1"/>
  <c r="K42" i="1"/>
  <c r="L42" i="1"/>
  <c r="L43" i="1" s="1"/>
  <c r="M42" i="1"/>
  <c r="N42" i="1"/>
  <c r="O42" i="1"/>
  <c r="O43" i="1" s="1"/>
  <c r="P42" i="1"/>
  <c r="P43" i="1" s="1"/>
  <c r="Q42" i="1"/>
  <c r="Q43" i="1" s="1"/>
  <c r="R42" i="1"/>
  <c r="J42" i="1"/>
  <c r="J43" i="1" s="1"/>
  <c r="I42" i="1"/>
  <c r="I43" i="1" s="1"/>
  <c r="J38" i="1"/>
  <c r="K38" i="1"/>
  <c r="L38" i="1"/>
  <c r="M38" i="1"/>
  <c r="N38" i="1"/>
  <c r="O38" i="1"/>
  <c r="P38" i="1"/>
  <c r="Q38" i="1"/>
  <c r="R38" i="1"/>
  <c r="I38" i="1"/>
  <c r="D24" i="1"/>
  <c r="E24" i="1"/>
  <c r="F24" i="1"/>
  <c r="G24" i="1"/>
  <c r="C24" i="1"/>
  <c r="E26" i="1"/>
  <c r="E45" i="1" s="1"/>
  <c r="G35" i="1"/>
  <c r="F35" i="1"/>
  <c r="E35" i="1"/>
  <c r="D35" i="1"/>
  <c r="D45" i="1" s="1"/>
  <c r="C35" i="1"/>
  <c r="D23" i="1"/>
  <c r="E23" i="1"/>
  <c r="F23" i="1"/>
  <c r="G23" i="1"/>
  <c r="C23" i="1"/>
  <c r="E42" i="1"/>
  <c r="F42" i="1"/>
  <c r="G42" i="1"/>
  <c r="G43" i="1"/>
  <c r="D42" i="1"/>
  <c r="D43" i="1" s="1"/>
  <c r="F26" i="1"/>
  <c r="F45" i="1"/>
  <c r="G26" i="1"/>
  <c r="G45" i="1"/>
  <c r="G14" i="1"/>
  <c r="D26" i="1"/>
  <c r="G39" i="1"/>
  <c r="D39" i="1"/>
  <c r="C39" i="1"/>
  <c r="F39" i="1"/>
  <c r="E39" i="1"/>
  <c r="E14" i="1"/>
  <c r="F14" i="1"/>
  <c r="D14" i="1"/>
  <c r="C26" i="1"/>
  <c r="D20" i="1"/>
  <c r="E20" i="1"/>
  <c r="F20" i="1"/>
  <c r="G20" i="1"/>
  <c r="C20" i="1"/>
  <c r="C27" i="1"/>
  <c r="G27" i="1"/>
  <c r="F27" i="1"/>
  <c r="D27" i="1"/>
  <c r="F43" i="1"/>
  <c r="E43" i="1"/>
  <c r="Q19" i="1"/>
  <c r="P19" i="1"/>
  <c r="M19" i="1"/>
  <c r="K19" i="1"/>
  <c r="J19" i="1"/>
  <c r="I19" i="1"/>
  <c r="R24" i="1" l="1"/>
  <c r="R27" i="1"/>
  <c r="R43" i="1"/>
  <c r="Q24" i="1"/>
  <c r="Q27" i="1"/>
  <c r="L19" i="1"/>
  <c r="E27" i="1"/>
  <c r="N43" i="1"/>
  <c r="N14" i="1"/>
  <c r="M24" i="1"/>
  <c r="M27" i="1"/>
  <c r="O14" i="1"/>
  <c r="N27" i="1"/>
  <c r="O19" i="1"/>
  <c r="L14" i="1"/>
  <c r="K24" i="1"/>
  <c r="K27" i="1"/>
  <c r="M43" i="1"/>
  <c r="K43" i="1"/>
  <c r="H47" i="1"/>
  <c r="I47" i="1"/>
  <c r="J47" i="1" s="1"/>
  <c r="K47" i="1" s="1"/>
  <c r="L47" i="1" s="1"/>
  <c r="M47" i="1" s="1"/>
  <c r="N47" i="1" s="1"/>
  <c r="O47" i="1" s="1"/>
  <c r="P47" i="1" s="1"/>
  <c r="Q47" i="1" s="1"/>
  <c r="R47" i="1" s="1"/>
  <c r="I39" i="1"/>
  <c r="I23" i="1"/>
  <c r="I45" i="1"/>
  <c r="R39" i="1"/>
  <c r="R23" i="1"/>
  <c r="R45" i="1"/>
  <c r="Q39" i="1"/>
  <c r="Q23" i="1"/>
  <c r="Q45" i="1"/>
  <c r="P39" i="1"/>
  <c r="P23" i="1"/>
  <c r="P45" i="1"/>
  <c r="O39" i="1"/>
  <c r="O23" i="1"/>
  <c r="O45" i="1"/>
  <c r="N39" i="1"/>
  <c r="N23" i="1"/>
  <c r="N45" i="1"/>
  <c r="M39" i="1"/>
  <c r="M23" i="1"/>
  <c r="M45" i="1"/>
  <c r="L39" i="1"/>
  <c r="L23" i="1"/>
  <c r="L45" i="1"/>
  <c r="K39" i="1"/>
  <c r="K23" i="1"/>
  <c r="K45" i="1"/>
  <c r="J39" i="1"/>
  <c r="J23" i="1"/>
  <c r="J45" i="1"/>
  <c r="J48" i="1" s="1"/>
  <c r="K48" i="1" l="1"/>
  <c r="N48" i="1"/>
  <c r="Q48" i="1"/>
  <c r="O48" i="1"/>
  <c r="L48" i="1"/>
  <c r="R48" i="1"/>
  <c r="I48" i="1"/>
  <c r="P48" i="1"/>
  <c r="M48" i="1"/>
  <c r="C55" i="1"/>
  <c r="C56" i="1" s="1"/>
  <c r="C58" i="1" l="1"/>
  <c r="C59" i="1" s="1"/>
  <c r="C62" i="1" s="1"/>
  <c r="C49" i="1"/>
</calcChain>
</file>

<file path=xl/sharedStrings.xml><?xml version="1.0" encoding="utf-8"?>
<sst xmlns="http://schemas.openxmlformats.org/spreadsheetml/2006/main" count="68" uniqueCount="51">
  <si>
    <t>WACC</t>
  </si>
  <si>
    <t>Lemon Tree DCF Analysis</t>
  </si>
  <si>
    <t>Ticker Symbol</t>
  </si>
  <si>
    <t>LEMONTREE</t>
  </si>
  <si>
    <t>Date</t>
  </si>
  <si>
    <t>Stock price</t>
  </si>
  <si>
    <t>Assumptions</t>
  </si>
  <si>
    <t>Case</t>
  </si>
  <si>
    <t>base</t>
  </si>
  <si>
    <t>Terminal Growth Rate</t>
  </si>
  <si>
    <r>
      <t>Income Statement Items</t>
    </r>
    <r>
      <rPr>
        <i/>
        <sz val="11"/>
        <color rgb="FFFFFFFF"/>
        <rFont val="Aptos Narrow"/>
        <scheme val="minor"/>
      </rPr>
      <t>(in L)</t>
    </r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</si>
  <si>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</si>
  <si>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</si>
  <si>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</si>
  <si>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</si>
  <si>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</si>
  <si>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</si>
  <si>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</si>
  <si>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</si>
  <si>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</si>
  <si>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</si>
  <si>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Revenue</t>
  </si>
  <si>
    <t>%growth</t>
  </si>
  <si>
    <t>conservative</t>
  </si>
  <si>
    <t>optimistic</t>
  </si>
  <si>
    <t>EBITDA</t>
  </si>
  <si>
    <t>%ofRevenue</t>
  </si>
  <si>
    <t>D&amp;A</t>
  </si>
  <si>
    <t>% of CapEx</t>
  </si>
  <si>
    <t>EBIT</t>
  </si>
  <si>
    <t>%revenue</t>
  </si>
  <si>
    <t>PBT</t>
  </si>
  <si>
    <t>Taxes</t>
  </si>
  <si>
    <t>% tax rate</t>
  </si>
  <si>
    <r>
      <t>Cash Flow Items</t>
    </r>
    <r>
      <rPr>
        <i/>
        <sz val="11"/>
        <color rgb="FFFFFFFF"/>
        <rFont val="Aptos Narrow"/>
        <scheme val="minor"/>
      </rPr>
      <t>(in L)</t>
    </r>
  </si>
  <si>
    <t>CapEx</t>
  </si>
  <si>
    <t>NWC</t>
  </si>
  <si>
    <t>Change in NWC</t>
  </si>
  <si>
    <t>Free Cash Flow (Unlevered)</t>
  </si>
  <si>
    <t>Period</t>
  </si>
  <si>
    <t>Discount Period</t>
  </si>
  <si>
    <t>Present Value of FCF</t>
  </si>
  <si>
    <t>Sum of PV of FCF</t>
  </si>
  <si>
    <t xml:space="preserve"> </t>
  </si>
  <si>
    <t>Terminal value</t>
  </si>
  <si>
    <t>Present Value of Terminal Value</t>
  </si>
  <si>
    <t xml:space="preserve">Entreprise Value </t>
  </si>
  <si>
    <t xml:space="preserve">Equity Value </t>
  </si>
  <si>
    <t>Total number of Outstanding shares</t>
  </si>
  <si>
    <t>Estimated Share Price</t>
  </si>
  <si>
    <t>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</si>
</sst>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009]\ * #,##0.00_ ;_ [$₹-4009]\ * \-#,##0.00_ ;_ [$₹-4009]\ * &quot;-&quot;??_ ;_ @_ "/>
    <numFmt numFmtId="165" formatCode="_ [$₹-439]* #,##0.00_ ;_ [$₹-439]* \-#,##0.00_ ;_ [$₹-439]* &quot;-&quot;??_ ;_ @_ "/>
    <numFmt numFmtId="166" formatCode="0.0"/>
    <numFmt numFmtId="167" formatCode="#,##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3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FFFFFF"/>
      <name val="Aptos Narrow"/>
      <scheme val="minor"/>
    </font>
    <font>
      <i/>
      <sz val="11"/>
      <color rgb="FFFFFFFF"/>
      <name val="Aptos Narrow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42C1C"/>
        <bgColor indexed="64"/>
      </patternFill>
    </fill>
    <fill>
      <patternFill patternType="solid">
        <fgColor rgb="FFE2C7C0"/>
        <bgColor indexed="64"/>
      </patternFill>
    </fill>
    <fill>
      <patternFill patternType="solid">
        <fgColor rgb="FF571C0E"/>
        <bgColor indexed="64"/>
      </patternFill>
    </fill>
    <fill>
      <patternFill patternType="solid">
        <fgColor rgb="FFEE9E93"/>
        <bgColor indexed="64"/>
      </patternFill>
    </fill>
    <fill>
      <patternFill patternType="solid">
        <fgColor rgb="FFF2DDD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right"/>
    </xf>
    <xf numFmtId="164" fontId="0" fillId="0" borderId="0" xfId="0" applyNumberFormat="1"/>
    <xf numFmtId="10" fontId="2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applyAlignment="1">
      <alignment wrapText="1"/>
    </xf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164" fontId="5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3" fillId="0" borderId="0" xfId="0" applyFont="1"/>
    <xf numFmtId="16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7" fontId="2" fillId="0" borderId="0" xfId="0" applyNumberFormat="1" applyFont="1" applyAlignment="1">
      <alignment horizontal="right"/>
    </xf>
    <xf numFmtId="0" fontId="0" fillId="4" borderId="0" xfId="0" applyFill="1"/>
    <xf numFmtId="0" fontId="4" fillId="3" borderId="0" xfId="0" applyFont="1" applyFill="1"/>
    <xf numFmtId="0" fontId="9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1" fillId="4" borderId="0" xfId="0" applyFont="1" applyFill="1"/>
    <xf numFmtId="0" fontId="0" fillId="4" borderId="2" xfId="0" applyFill="1" applyBorder="1"/>
    <xf numFmtId="0" fontId="0" fillId="4" borderId="2" xfId="0" applyFill="1" applyBorder="1" applyAlignment="1">
      <alignment horizontal="right"/>
    </xf>
    <xf numFmtId="10" fontId="0" fillId="4" borderId="2" xfId="0" applyNumberFormat="1" applyFill="1" applyBorder="1"/>
    <xf numFmtId="164" fontId="0" fillId="4" borderId="2" xfId="0" applyNumberFormat="1" applyFill="1" applyBorder="1" applyAlignment="1">
      <alignment horizontal="right"/>
    </xf>
    <xf numFmtId="0" fontId="0" fillId="5" borderId="1" xfId="0" applyFill="1" applyBorder="1"/>
    <xf numFmtId="0" fontId="7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0" fillId="5" borderId="0" xfId="0" applyFill="1"/>
    <xf numFmtId="0" fontId="9" fillId="3" borderId="0" xfId="0" applyFont="1" applyFill="1"/>
    <xf numFmtId="0" fontId="5" fillId="6" borderId="0" xfId="0" applyFont="1" applyFill="1"/>
    <xf numFmtId="0" fontId="6" fillId="6" borderId="0" xfId="0" applyFont="1" applyFill="1"/>
    <xf numFmtId="167" fontId="5" fillId="6" borderId="0" xfId="0" applyNumberFormat="1" applyFont="1" applyFill="1"/>
    <xf numFmtId="166" fontId="5" fillId="6" borderId="0" xfId="0" applyNumberFormat="1" applyFont="1" applyFill="1"/>
    <xf numFmtId="0" fontId="1" fillId="6" borderId="0" xfId="0" applyFont="1" applyFill="1"/>
    <xf numFmtId="0" fontId="0" fillId="6" borderId="0" xfId="0" applyFill="1"/>
    <xf numFmtId="2" fontId="0" fillId="6" borderId="0" xfId="0" applyNumberFormat="1" applyFill="1"/>
    <xf numFmtId="0" fontId="0" fillId="6" borderId="4" xfId="0" applyFill="1" applyBorder="1"/>
    <xf numFmtId="0" fontId="1" fillId="6" borderId="4" xfId="0" applyFont="1" applyFill="1" applyBorder="1"/>
    <xf numFmtId="164" fontId="0" fillId="6" borderId="4" xfId="0" applyNumberFormat="1" applyFill="1" applyBorder="1"/>
    <xf numFmtId="166" fontId="5" fillId="6" borderId="4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166" fontId="0" fillId="6" borderId="1" xfId="0" applyNumberFormat="1" applyFill="1" applyBorder="1"/>
    <xf numFmtId="164" fontId="0" fillId="6" borderId="1" xfId="0" applyNumberFormat="1" applyFill="1" applyBorder="1"/>
    <xf numFmtId="166" fontId="5" fillId="6" borderId="1" xfId="0" applyNumberFormat="1" applyFont="1" applyFill="1" applyBorder="1"/>
    <xf numFmtId="166" fontId="0" fillId="7" borderId="2" xfId="0" applyNumberFormat="1" applyFill="1" applyBorder="1"/>
    <xf numFmtId="166" fontId="0" fillId="7" borderId="9" xfId="0" applyNumberFormat="1" applyFill="1" applyBorder="1"/>
    <xf numFmtId="166" fontId="0" fillId="7" borderId="8" xfId="0" applyNumberFormat="1" applyFill="1" applyBorder="1"/>
    <xf numFmtId="0" fontId="5" fillId="4" borderId="3" xfId="0" applyFont="1" applyFill="1" applyBorder="1"/>
    <xf numFmtId="0" fontId="6" fillId="4" borderId="4" xfId="0" applyFont="1" applyFill="1" applyBorder="1"/>
    <xf numFmtId="165" fontId="5" fillId="4" borderId="6" xfId="0" applyNumberFormat="1" applyFont="1" applyFill="1" applyBorder="1"/>
    <xf numFmtId="0" fontId="5" fillId="4" borderId="5" xfId="0" applyFont="1" applyFill="1" applyBorder="1"/>
    <xf numFmtId="0" fontId="6" fillId="4" borderId="1" xfId="0" applyFont="1" applyFill="1" applyBorder="1"/>
    <xf numFmtId="165" fontId="5" fillId="4" borderId="7" xfId="0" applyNumberFormat="1" applyFont="1" applyFill="1" applyBorder="1"/>
    <xf numFmtId="0" fontId="0" fillId="4" borderId="3" xfId="0" applyFill="1" applyBorder="1"/>
    <xf numFmtId="0" fontId="8" fillId="4" borderId="4" xfId="0" applyFont="1" applyFill="1" applyBorder="1"/>
    <xf numFmtId="0" fontId="0" fillId="4" borderId="5" xfId="0" applyFill="1" applyBorder="1"/>
    <xf numFmtId="0" fontId="8" fillId="4" borderId="1" xfId="0" applyFont="1" applyFill="1" applyBorder="1"/>
    <xf numFmtId="0" fontId="1" fillId="4" borderId="4" xfId="0" applyFont="1" applyFill="1" applyBorder="1"/>
    <xf numFmtId="3" fontId="0" fillId="4" borderId="6" xfId="0" applyNumberFormat="1" applyFill="1" applyBorder="1"/>
    <xf numFmtId="0" fontId="1" fillId="4" borderId="1" xfId="0" applyFont="1" applyFill="1" applyBorder="1"/>
    <xf numFmtId="165" fontId="0" fillId="4" borderId="7" xfId="0" applyNumberFormat="1" applyFill="1" applyBorder="1"/>
    <xf numFmtId="0" fontId="0" fillId="6" borderId="10" xfId="0" applyFill="1" applyBorder="1"/>
    <xf numFmtId="166" fontId="0" fillId="7" borderId="11" xfId="0" applyNumberFormat="1" applyFill="1" applyBorder="1"/>
    <xf numFmtId="0" fontId="11" fillId="4" borderId="2" xfId="0" applyFont="1" applyFill="1" applyBorder="1"/>
    <xf numFmtId="14" fontId="12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2C7C0"/>
      <color rgb="FFEE9E93"/>
      <color rgb="FFF2DDD9"/>
      <color rgb="FF742C1C"/>
      <color rgb="FF571C0E"/>
      <color rgb="FFEFE2B4"/>
      <color rgb="FF7E350E"/>
      <color rgb="FFFAF7A0"/>
      <color rgb="FFE5CE83"/>
      <color rgb="FFE0C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6"/>
  <sheetViews>
    <sheetView showGridLines="0" tabSelected="1" topLeftCell="A32" zoomScale="112" zoomScaleNormal="100" workbookViewId="0">
      <selection activeCell="F9" sqref="F9"/>
    </sheetView>
  </sheetViews>
  <sheetFormatPr baseColWidth="10" defaultColWidth="8.83203125" defaultRowHeight="15" x14ac:dyDescent="0.2"/>
  <cols>
    <col min="1" max="1" width="2.5" customWidth="1"/>
    <col min="2" max="2" width="30.83203125" customWidth="1"/>
    <col min="3" max="3" width="17.33203125" customWidth="1"/>
    <col min="4" max="5" width="8.6640625" customWidth="1"/>
    <col min="6" max="6" width="9.83203125" customWidth="1"/>
    <col min="7" max="7" width="10.1640625" customWidth="1"/>
    <col min="8" max="8" width="1.1640625" customWidth="1"/>
    <col min="9" max="9" width="9.83203125" customWidth="1"/>
    <col min="10" max="10" width="9.33203125" customWidth="1"/>
    <col min="11" max="11" width="9.1640625" customWidth="1"/>
    <col min="12" max="12" width="8.83203125" customWidth="1"/>
    <col min="13" max="13" width="9.1640625" customWidth="1"/>
    <col min="14" max="14" width="9.6640625" customWidth="1"/>
    <col min="15" max="15" width="9.33203125" customWidth="1"/>
    <col min="16" max="16" width="9.83203125" customWidth="1"/>
    <col min="17" max="18" width="9.5" customWidth="1"/>
    <col min="19" max="19" width="1.5" customWidth="1"/>
  </cols>
  <sheetData>
    <row r="1" spans="1:19" s="8" customFormat="1" ht="50" x14ac:dyDescent="0.3">
      <c r="A1" s="25"/>
      <c r="B1" s="26" t="s">
        <v>1</v>
      </c>
      <c r="C1" s="27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8"/>
    </row>
    <row r="2" spans="1:19" ht="14.25" customHeight="1" x14ac:dyDescent="0.2"/>
    <row r="3" spans="1:19" ht="14.25" customHeight="1" x14ac:dyDescent="0.2">
      <c r="B3" s="21" t="s">
        <v>2</v>
      </c>
      <c r="C3" s="22" t="s">
        <v>3</v>
      </c>
      <c r="E3" s="65" t="s">
        <v>4</v>
      </c>
      <c r="F3" s="66">
        <v>45934</v>
      </c>
      <c r="J3" s="5"/>
    </row>
    <row r="4" spans="1:19" ht="14.25" customHeight="1" x14ac:dyDescent="0.2">
      <c r="B4" s="21" t="s">
        <v>5</v>
      </c>
      <c r="C4" s="24">
        <v>173.4</v>
      </c>
      <c r="E4" s="65" t="s">
        <v>50</v>
      </c>
      <c r="F4" s="66">
        <v>46022</v>
      </c>
    </row>
    <row r="5" spans="1:19" ht="14.25" customHeight="1" x14ac:dyDescent="0.2"/>
    <row r="6" spans="1:19" x14ac:dyDescent="0.2">
      <c r="B6" s="20" t="s">
        <v>6</v>
      </c>
      <c r="C6" s="16"/>
    </row>
    <row r="7" spans="1:19" x14ac:dyDescent="0.2">
      <c r="B7" s="21" t="s">
        <v>7</v>
      </c>
      <c r="C7" s="22" t="s">
        <v>8</v>
      </c>
    </row>
    <row r="8" spans="1:19" x14ac:dyDescent="0.2">
      <c r="B8" s="21" t="s">
        <v>0</v>
      </c>
      <c r="C8" s="23">
        <v>0.14779999999999999</v>
      </c>
    </row>
    <row r="9" spans="1:19" x14ac:dyDescent="0.2">
      <c r="B9" s="21" t="s">
        <v>9</v>
      </c>
      <c r="C9" s="23">
        <v>0.08</v>
      </c>
      <c r="E9" s="10"/>
    </row>
    <row r="12" spans="1:19" s="6" customFormat="1" ht="18" x14ac:dyDescent="0.25">
      <c r="A12" s="17"/>
      <c r="B12" s="18" t="s">
        <v>10</v>
      </c>
      <c r="C12" s="17">
        <v>2021</v>
      </c>
      <c r="D12" s="17">
        <v>2022</v>
      </c>
      <c r="E12" s="17">
        <v>2023</v>
      </c>
      <c r="F12" s="17">
        <v>2024</v>
      </c>
      <c r="G12" s="19">
        <v>2025</v>
      </c>
      <c r="H12" s="17"/>
      <c r="I12" s="19" t="s">
        <v>11</v>
      </c>
      <c r="J12" s="19" t="s">
        <v>12</v>
      </c>
      <c r="K12" s="19" t="s">
        <v>13</v>
      </c>
      <c r="L12" s="19" t="s">
        <v>14</v>
      </c>
      <c r="M12" s="19" t="s">
        <v>15</v>
      </c>
      <c r="N12" s="19" t="s">
        <v>16</v>
      </c>
      <c r="O12" s="19" t="s">
        <v>17</v>
      </c>
      <c r="P12" s="19" t="s">
        <v>18</v>
      </c>
      <c r="Q12" s="19" t="s">
        <v>19</v>
      </c>
      <c r="R12" s="19" t="s">
        <v>20</v>
      </c>
      <c r="S12" s="17"/>
    </row>
    <row r="13" spans="1:19" x14ac:dyDescent="0.2">
      <c r="B13" s="12" t="s">
        <v>21</v>
      </c>
      <c r="C13">
        <v>26497.200000000001</v>
      </c>
      <c r="D13">
        <v>41627</v>
      </c>
      <c r="E13">
        <v>87856.6</v>
      </c>
      <c r="F13">
        <v>107676.2</v>
      </c>
      <c r="G13" s="11">
        <v>128841.16</v>
      </c>
      <c r="I13" s="10">
        <f t="shared" ref="I13:R13" si="0">IF($C$7="base", I16, IF($C$7="conservative", I15, IF($C$7="optimistic", I17)))</f>
        <v>159269.04476982649</v>
      </c>
      <c r="J13" s="10">
        <f t="shared" si="0"/>
        <v>183104.92238781188</v>
      </c>
      <c r="K13" s="10">
        <f t="shared" si="0"/>
        <v>209526.09018935697</v>
      </c>
      <c r="L13" s="10">
        <f t="shared" si="0"/>
        <v>237771.68531372544</v>
      </c>
      <c r="M13" s="10">
        <f t="shared" si="0"/>
        <v>267781.8872157553</v>
      </c>
      <c r="N13" s="10">
        <f t="shared" si="0"/>
        <v>311104.52574732224</v>
      </c>
      <c r="O13" s="10">
        <f t="shared" si="0"/>
        <v>331575.41869158141</v>
      </c>
      <c r="P13" s="10">
        <f t="shared" si="0"/>
        <v>368629.06211262092</v>
      </c>
      <c r="Q13" s="10">
        <f t="shared" si="0"/>
        <v>406091.89370592934</v>
      </c>
      <c r="R13" s="10">
        <f t="shared" si="0"/>
        <v>446112.90159999509</v>
      </c>
    </row>
    <row r="14" spans="1:19" x14ac:dyDescent="0.2">
      <c r="B14" s="1" t="s">
        <v>22</v>
      </c>
      <c r="C14" s="1"/>
      <c r="D14" s="4">
        <f xml:space="preserve"> (D13-C13)/C13</f>
        <v>0.57099618072852976</v>
      </c>
      <c r="E14" s="4">
        <f xml:space="preserve"> (E13-D13)/D13</f>
        <v>1.110567660412713</v>
      </c>
      <c r="F14" s="4">
        <f xml:space="preserve"> (F13-E13)/E13</f>
        <v>0.22559033698094383</v>
      </c>
      <c r="G14" s="4">
        <f xml:space="preserve"> (G13-F13)/F13</f>
        <v>0.19656117136377405</v>
      </c>
      <c r="I14" s="4">
        <f>(I13-G13)/G13</f>
        <v>0.23616587098273942</v>
      </c>
      <c r="J14" s="4">
        <f t="shared" ref="J14:R14" si="1">(J13-I13)/I13</f>
        <v>0.14965794296332149</v>
      </c>
      <c r="K14" s="4">
        <f t="shared" si="1"/>
        <v>0.14429523497782154</v>
      </c>
      <c r="L14" s="4">
        <f t="shared" si="1"/>
        <v>0.13480705481041436</v>
      </c>
      <c r="M14" s="4">
        <f t="shared" si="1"/>
        <v>0.12621436342360615</v>
      </c>
      <c r="N14" s="4">
        <f t="shared" si="1"/>
        <v>0.16178330424813736</v>
      </c>
      <c r="O14" s="4">
        <f t="shared" si="1"/>
        <v>6.5800691568484393E-2</v>
      </c>
      <c r="P14" s="4">
        <f t="shared" si="1"/>
        <v>0.11175027258430568</v>
      </c>
      <c r="Q14" s="4">
        <f t="shared" si="1"/>
        <v>0.10162745004045028</v>
      </c>
      <c r="R14" s="4">
        <f t="shared" si="1"/>
        <v>9.8551604979947943E-2</v>
      </c>
    </row>
    <row r="15" spans="1:19" x14ac:dyDescent="0.2">
      <c r="B15" s="1" t="s">
        <v>23</v>
      </c>
      <c r="C15" s="1"/>
      <c r="I15" s="46">
        <v>159269.04476982649</v>
      </c>
      <c r="J15" s="47">
        <v>181905.35981454898</v>
      </c>
      <c r="K15" s="46">
        <v>207681.35121921802</v>
      </c>
      <c r="L15" s="46">
        <v>235089.35115549705</v>
      </c>
      <c r="M15" s="46">
        <v>263795.71800957597</v>
      </c>
      <c r="N15" s="46">
        <v>305156.93382519437</v>
      </c>
      <c r="O15" s="46">
        <v>323524.39759306877</v>
      </c>
      <c r="P15" s="46">
        <v>358005.18051563087</v>
      </c>
      <c r="Q15" s="48">
        <v>392942.4986491421</v>
      </c>
      <c r="R15" s="64">
        <v>430033.06265510345</v>
      </c>
      <c r="S15" s="8"/>
    </row>
    <row r="16" spans="1:19" x14ac:dyDescent="0.2">
      <c r="B16" s="1" t="s">
        <v>8</v>
      </c>
      <c r="C16" s="1"/>
      <c r="I16" s="46">
        <v>159269.04476982649</v>
      </c>
      <c r="J16" s="47">
        <v>183104.92238781188</v>
      </c>
      <c r="K16" s="46">
        <v>209526.09018935697</v>
      </c>
      <c r="L16" s="46">
        <v>237771.68531372544</v>
      </c>
      <c r="M16" s="46">
        <v>267781.8872157553</v>
      </c>
      <c r="N16" s="46">
        <v>311104.52574732224</v>
      </c>
      <c r="O16" s="46">
        <v>331575.41869158141</v>
      </c>
      <c r="P16" s="46">
        <v>368629.06211262092</v>
      </c>
      <c r="Q16" s="48">
        <v>406091.89370592934</v>
      </c>
      <c r="R16" s="64">
        <v>446112.90159999509</v>
      </c>
      <c r="S16" s="8"/>
    </row>
    <row r="17" spans="2:19" x14ac:dyDescent="0.2">
      <c r="B17" s="1" t="s">
        <v>24</v>
      </c>
      <c r="C17" s="1"/>
      <c r="I17" s="46">
        <v>159269.04476982649</v>
      </c>
      <c r="J17" s="47">
        <v>184305.55983497185</v>
      </c>
      <c r="K17" s="46">
        <v>214350.62116257058</v>
      </c>
      <c r="L17" s="46">
        <v>247218.51507352508</v>
      </c>
      <c r="M17" s="46">
        <v>284624.32187226578</v>
      </c>
      <c r="N17" s="46">
        <v>334499.8003452057</v>
      </c>
      <c r="O17" s="46">
        <v>362150.85149107629</v>
      </c>
      <c r="P17" s="46">
        <v>407144.0573955694</v>
      </c>
      <c r="Q17" s="48">
        <v>455705.10944225552</v>
      </c>
      <c r="R17" s="64">
        <v>508742.27294818289</v>
      </c>
      <c r="S17" s="8"/>
    </row>
    <row r="18" spans="2:19" x14ac:dyDescent="0.2"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19" x14ac:dyDescent="0.2">
      <c r="B19" t="s">
        <v>25</v>
      </c>
      <c r="C19">
        <v>7452.3</v>
      </c>
      <c r="D19" s="10">
        <v>13269.24</v>
      </c>
      <c r="E19" s="10">
        <v>45114.34</v>
      </c>
      <c r="F19">
        <v>52888.1</v>
      </c>
      <c r="G19" s="11">
        <v>63645.69</v>
      </c>
      <c r="I19" s="10">
        <f t="shared" ref="I19:R19" si="2">I26+I22</f>
        <v>75833.249460232328</v>
      </c>
      <c r="J19" s="10">
        <f t="shared" si="2"/>
        <v>85129.241731246642</v>
      </c>
      <c r="K19" s="10">
        <f t="shared" si="2"/>
        <v>95433.497173849217</v>
      </c>
      <c r="L19" s="10">
        <f t="shared" si="2"/>
        <v>106449.27927235293</v>
      </c>
      <c r="M19" s="10">
        <f t="shared" si="2"/>
        <v>118153.25801414454</v>
      </c>
      <c r="N19" s="10">
        <f t="shared" si="2"/>
        <v>135049.08704145567</v>
      </c>
      <c r="O19" s="10">
        <f t="shared" si="2"/>
        <v>143042.97528971673</v>
      </c>
      <c r="P19" s="10">
        <f t="shared" si="2"/>
        <v>157493.89622392214</v>
      </c>
      <c r="Q19" s="10">
        <f t="shared" si="2"/>
        <v>172104.40054531244</v>
      </c>
      <c r="R19" s="10">
        <f t="shared" si="2"/>
        <v>187712.59362399805</v>
      </c>
    </row>
    <row r="20" spans="2:19" x14ac:dyDescent="0.2">
      <c r="B20" s="1" t="s">
        <v>26</v>
      </c>
      <c r="C20" s="3">
        <f>C19/C13</f>
        <v>0.28124858475612519</v>
      </c>
      <c r="D20" s="3">
        <f>D19/D13</f>
        <v>0.31876522449371802</v>
      </c>
      <c r="E20" s="3">
        <f>E19/E13</f>
        <v>0.51349972568936186</v>
      </c>
      <c r="F20" s="3">
        <f>F19/F13</f>
        <v>0.49117725179751887</v>
      </c>
      <c r="G20" s="3">
        <f>G19/G13</f>
        <v>0.4939856952545289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2" spans="2:19" x14ac:dyDescent="0.2">
      <c r="B22" t="s">
        <v>27</v>
      </c>
      <c r="C22" s="13">
        <v>10755.32</v>
      </c>
      <c r="D22" s="10">
        <v>10434.75</v>
      </c>
      <c r="E22" s="10">
        <v>9660.16</v>
      </c>
      <c r="F22" s="10">
        <v>11213.1</v>
      </c>
      <c r="G22" s="10">
        <v>13929.65</v>
      </c>
      <c r="I22" s="10">
        <v>13718.322</v>
      </c>
      <c r="J22" s="10">
        <v>13718.322</v>
      </c>
      <c r="K22" s="10">
        <v>13718.322</v>
      </c>
      <c r="L22" s="10">
        <v>13718.322</v>
      </c>
      <c r="M22" s="10">
        <v>13718.322</v>
      </c>
      <c r="N22" s="10">
        <v>13718.322</v>
      </c>
      <c r="O22" s="10">
        <v>13728.562</v>
      </c>
      <c r="P22" s="10">
        <v>13728.562</v>
      </c>
      <c r="Q22" s="10">
        <v>13728.562</v>
      </c>
      <c r="R22" s="10">
        <v>13728.562</v>
      </c>
    </row>
    <row r="23" spans="2:19" x14ac:dyDescent="0.2">
      <c r="B23" s="1" t="s">
        <v>28</v>
      </c>
      <c r="C23" s="3">
        <f>C22/C38</f>
        <v>1.5268009113686853</v>
      </c>
      <c r="D23" s="3">
        <f>D22/D38</f>
        <v>1.5447675021095797</v>
      </c>
      <c r="E23" s="3">
        <f>E22/E38</f>
        <v>0.59614903972841726</v>
      </c>
      <c r="F23" s="3">
        <f>F22/F38</f>
        <v>0.33858503336450518</v>
      </c>
      <c r="G23" s="3">
        <f>G22/G38</f>
        <v>1.4543122538021354</v>
      </c>
      <c r="I23" s="4">
        <f t="shared" ref="I23:R23" si="3">I22/I38</f>
        <v>0.90909090909090906</v>
      </c>
      <c r="J23" s="4">
        <f t="shared" si="3"/>
        <v>0.90909090909090906</v>
      </c>
      <c r="K23" s="4">
        <f t="shared" si="3"/>
        <v>0.90909090909090906</v>
      </c>
      <c r="L23" s="4">
        <f t="shared" si="3"/>
        <v>0.90909090909090906</v>
      </c>
      <c r="M23" s="4">
        <f t="shared" si="3"/>
        <v>0.90909090909090906</v>
      </c>
      <c r="N23" s="4">
        <f t="shared" si="3"/>
        <v>0.90909090909090906</v>
      </c>
      <c r="O23" s="4">
        <f t="shared" si="3"/>
        <v>0.90909090909090895</v>
      </c>
      <c r="P23" s="4">
        <f t="shared" si="3"/>
        <v>0.90909090909090895</v>
      </c>
      <c r="Q23" s="4">
        <f t="shared" si="3"/>
        <v>0.90909090909090895</v>
      </c>
      <c r="R23" s="4">
        <f t="shared" si="3"/>
        <v>0.90909090909090895</v>
      </c>
    </row>
    <row r="24" spans="2:19" x14ac:dyDescent="0.2">
      <c r="B24" s="1" t="s">
        <v>26</v>
      </c>
      <c r="C24" s="3">
        <f>C22/C13</f>
        <v>0.40590402004740123</v>
      </c>
      <c r="D24" s="3">
        <f t="shared" ref="D24:G24" si="4">D22/D13</f>
        <v>0.25067264035361664</v>
      </c>
      <c r="E24" s="3">
        <f t="shared" si="4"/>
        <v>0.10995372003924576</v>
      </c>
      <c r="F24" s="3">
        <f t="shared" si="4"/>
        <v>0.10413721880972769</v>
      </c>
      <c r="G24" s="3">
        <f t="shared" si="4"/>
        <v>0.10811490675805775</v>
      </c>
      <c r="I24" s="4">
        <f t="shared" ref="I24:R24" si="5">I22/I13</f>
        <v>8.6133008581959769E-2</v>
      </c>
      <c r="J24" s="4">
        <f t="shared" si="5"/>
        <v>7.4920552768892354E-2</v>
      </c>
      <c r="K24" s="4">
        <f t="shared" si="5"/>
        <v>6.5473096871144845E-2</v>
      </c>
      <c r="L24" s="4">
        <f t="shared" si="5"/>
        <v>5.7695355870062914E-2</v>
      </c>
      <c r="M24" s="4">
        <f t="shared" si="5"/>
        <v>5.12294619424613E-2</v>
      </c>
      <c r="N24" s="4">
        <f t="shared" si="5"/>
        <v>4.4095539809478577E-2</v>
      </c>
      <c r="O24" s="4">
        <f t="shared" si="5"/>
        <v>4.1404040306045053E-2</v>
      </c>
      <c r="P24" s="4">
        <f t="shared" si="5"/>
        <v>3.7242212866563811E-2</v>
      </c>
      <c r="Q24" s="4">
        <f t="shared" si="5"/>
        <v>3.3806540373695591E-2</v>
      </c>
      <c r="R24" s="4">
        <f t="shared" si="5"/>
        <v>3.0773739003651695E-2</v>
      </c>
    </row>
    <row r="25" spans="2:19" x14ac:dyDescent="0.2">
      <c r="B25" s="1"/>
      <c r="C25" s="1"/>
    </row>
    <row r="26" spans="2:19" x14ac:dyDescent="0.2">
      <c r="B26" s="14" t="s">
        <v>29</v>
      </c>
      <c r="C26" s="10">
        <f>C19-C22</f>
        <v>-3303.0199999999995</v>
      </c>
      <c r="D26" s="10">
        <f>D19-D22</f>
        <v>2834.49</v>
      </c>
      <c r="E26" s="10">
        <f>35555+'FCF '!E22</f>
        <v>45215.16</v>
      </c>
      <c r="F26" s="10">
        <f>F19-F22</f>
        <v>41675</v>
      </c>
      <c r="G26" s="10">
        <f>G19-G22</f>
        <v>49716.04</v>
      </c>
      <c r="I26" s="10">
        <f t="shared" ref="I26:R26" si="6">IF($C$7="base", I29, IF($C$7="conservative", I28, IF($C$7="optimistic", I30)))</f>
        <v>62114.927460232328</v>
      </c>
      <c r="J26" s="10">
        <f t="shared" si="6"/>
        <v>71410.919731246642</v>
      </c>
      <c r="K26" s="10">
        <f t="shared" si="6"/>
        <v>81715.175173849217</v>
      </c>
      <c r="L26" s="10">
        <f t="shared" si="6"/>
        <v>92730.957272352927</v>
      </c>
      <c r="M26" s="10">
        <f t="shared" si="6"/>
        <v>104434.93601414454</v>
      </c>
      <c r="N26" s="10">
        <f t="shared" si="6"/>
        <v>121330.76504145566</v>
      </c>
      <c r="O26" s="10">
        <f t="shared" si="6"/>
        <v>129314.41328971673</v>
      </c>
      <c r="P26" s="10">
        <f t="shared" si="6"/>
        <v>143765.33422392214</v>
      </c>
      <c r="Q26" s="10">
        <f t="shared" si="6"/>
        <v>158375.83854531244</v>
      </c>
      <c r="R26" s="10">
        <f t="shared" si="6"/>
        <v>173984.03162399805</v>
      </c>
    </row>
    <row r="27" spans="2:19" x14ac:dyDescent="0.2">
      <c r="B27" s="1" t="s">
        <v>30</v>
      </c>
      <c r="C27" s="3">
        <f>C26/C13</f>
        <v>-0.12465543529127604</v>
      </c>
      <c r="D27" s="3">
        <f>D26/D13</f>
        <v>6.8092584140101373E-2</v>
      </c>
      <c r="E27" s="3">
        <f>E26/E13</f>
        <v>0.5146472774953732</v>
      </c>
      <c r="F27" s="3">
        <f>F26/F13</f>
        <v>0.38704003298779116</v>
      </c>
      <c r="G27" s="3">
        <f>G26/G13</f>
        <v>0.38587078849647116</v>
      </c>
      <c r="I27" s="3">
        <f t="shared" ref="I27:R27" si="7">I26/I13</f>
        <v>0.38999999999999996</v>
      </c>
      <c r="J27" s="3">
        <f t="shared" si="7"/>
        <v>0.39000000000000007</v>
      </c>
      <c r="K27" s="3">
        <f t="shared" si="7"/>
        <v>0.39</v>
      </c>
      <c r="L27" s="3">
        <f t="shared" si="7"/>
        <v>0.39</v>
      </c>
      <c r="M27" s="3">
        <f t="shared" si="7"/>
        <v>0.3899999999999999</v>
      </c>
      <c r="N27" s="3">
        <f t="shared" si="7"/>
        <v>0.38999999999999996</v>
      </c>
      <c r="O27" s="3">
        <f t="shared" si="7"/>
        <v>0.38999999999999996</v>
      </c>
      <c r="P27" s="3">
        <f t="shared" si="7"/>
        <v>0.38999999999999996</v>
      </c>
      <c r="Q27" s="3">
        <f t="shared" si="7"/>
        <v>0.38999999999999996</v>
      </c>
      <c r="R27" s="3">
        <f t="shared" si="7"/>
        <v>0.3899999999999999</v>
      </c>
      <c r="S27" s="3"/>
    </row>
    <row r="28" spans="2:19" x14ac:dyDescent="0.2">
      <c r="B28" s="1" t="s">
        <v>23</v>
      </c>
      <c r="C28" s="1"/>
      <c r="I28" s="46">
        <v>62114.927460232328</v>
      </c>
      <c r="J28" s="47">
        <v>70943.090327674101</v>
      </c>
      <c r="K28" s="46">
        <v>80995.726975495039</v>
      </c>
      <c r="L28" s="46">
        <v>91684.846950643841</v>
      </c>
      <c r="M28" s="46">
        <v>102880.3300237346</v>
      </c>
      <c r="N28" s="46">
        <v>119011.20419182579</v>
      </c>
      <c r="O28" s="46">
        <v>126174.51506129681</v>
      </c>
      <c r="P28" s="46">
        <v>139622.02040109603</v>
      </c>
      <c r="Q28" s="48">
        <v>153247.57447316541</v>
      </c>
      <c r="R28" s="64">
        <v>167712.89443549031</v>
      </c>
    </row>
    <row r="29" spans="2:19" x14ac:dyDescent="0.2">
      <c r="B29" s="1" t="s">
        <v>8</v>
      </c>
      <c r="C29" s="1"/>
      <c r="I29" s="46">
        <v>62114.927460232328</v>
      </c>
      <c r="J29" s="47">
        <v>71410.919731246642</v>
      </c>
      <c r="K29" s="46">
        <v>81715.175173849217</v>
      </c>
      <c r="L29" s="46">
        <v>92730.957272352927</v>
      </c>
      <c r="M29" s="46">
        <v>104434.93601414454</v>
      </c>
      <c r="N29" s="46">
        <v>121330.76504145566</v>
      </c>
      <c r="O29" s="46">
        <v>129314.41328971673</v>
      </c>
      <c r="P29" s="46">
        <v>143765.33422392214</v>
      </c>
      <c r="Q29" s="48">
        <v>158375.83854531244</v>
      </c>
      <c r="R29" s="64">
        <v>173984.03162399805</v>
      </c>
    </row>
    <row r="30" spans="2:19" x14ac:dyDescent="0.2">
      <c r="B30" s="1" t="s">
        <v>24</v>
      </c>
      <c r="C30" s="1"/>
      <c r="I30" s="46">
        <v>62114.927460232328</v>
      </c>
      <c r="J30" s="47">
        <v>71879.168335639013</v>
      </c>
      <c r="K30" s="46">
        <v>83596.74225340251</v>
      </c>
      <c r="L30" s="46">
        <v>96415.220878674765</v>
      </c>
      <c r="M30" s="46">
        <v>111003.48553018362</v>
      </c>
      <c r="N30" s="46">
        <v>130454.92213463018</v>
      </c>
      <c r="O30" s="46">
        <v>141238.83208151974</v>
      </c>
      <c r="P30" s="46">
        <v>158786.18238427205</v>
      </c>
      <c r="Q30" s="48">
        <v>177724.99268247961</v>
      </c>
      <c r="R30" s="64">
        <v>198409.48644979135</v>
      </c>
    </row>
    <row r="31" spans="2:19" x14ac:dyDescent="0.2">
      <c r="B31" s="1"/>
      <c r="C31" s="1"/>
    </row>
    <row r="32" spans="2:19" x14ac:dyDescent="0.2">
      <c r="B32" s="14" t="s">
        <v>31</v>
      </c>
      <c r="C32" s="11">
        <v>-21874.42</v>
      </c>
      <c r="D32" s="11">
        <v>-14459.23</v>
      </c>
      <c r="E32" s="11">
        <v>17823.82</v>
      </c>
      <c r="F32" s="11">
        <v>21583.23</v>
      </c>
      <c r="G32" s="11">
        <v>29622.639999999999</v>
      </c>
    </row>
    <row r="33" spans="1:19" x14ac:dyDescent="0.2">
      <c r="B33" s="1"/>
      <c r="C33" s="15"/>
      <c r="D33" s="11"/>
      <c r="E33" s="11"/>
      <c r="F33" s="11"/>
      <c r="G33" s="11"/>
    </row>
    <row r="34" spans="1:19" x14ac:dyDescent="0.2">
      <c r="B34" t="s">
        <v>32</v>
      </c>
      <c r="C34" s="11">
        <v>-1.57</v>
      </c>
      <c r="D34" s="11">
        <v>25.24</v>
      </c>
      <c r="E34" s="11">
        <v>2692.87</v>
      </c>
      <c r="F34" s="11">
        <v>3350.52</v>
      </c>
      <c r="G34" s="11">
        <v>3632.78</v>
      </c>
    </row>
    <row r="35" spans="1:19" x14ac:dyDescent="0.2">
      <c r="B35" s="1" t="s">
        <v>33</v>
      </c>
      <c r="C35" s="3">
        <f>C34/C32</f>
        <v>7.177333159004903E-5</v>
      </c>
      <c r="D35" s="3">
        <f t="shared" ref="D35:G35" si="8">D34/D32</f>
        <v>-1.7455977946266848E-3</v>
      </c>
      <c r="E35" s="3">
        <f t="shared" si="8"/>
        <v>0.15108265231583354</v>
      </c>
      <c r="F35" s="3">
        <f t="shared" si="8"/>
        <v>0.15523719109697667</v>
      </c>
      <c r="G35" s="3">
        <f t="shared" si="8"/>
        <v>0.12263525465657349</v>
      </c>
      <c r="I35" s="3">
        <v>0.15</v>
      </c>
      <c r="J35" s="3">
        <v>0.15</v>
      </c>
      <c r="K35" s="3">
        <v>0.15</v>
      </c>
      <c r="L35" s="3">
        <v>0.15</v>
      </c>
      <c r="M35" s="3">
        <v>0.15</v>
      </c>
      <c r="N35" s="3">
        <v>0.15</v>
      </c>
      <c r="O35" s="3">
        <v>0.15</v>
      </c>
      <c r="P35" s="3">
        <v>0.15</v>
      </c>
      <c r="Q35" s="3">
        <v>0.15</v>
      </c>
      <c r="R35" s="3">
        <v>0.15</v>
      </c>
    </row>
    <row r="37" spans="1:19" s="6" customFormat="1" ht="18" x14ac:dyDescent="0.25">
      <c r="A37" s="17"/>
      <c r="B37" s="29" t="s">
        <v>34</v>
      </c>
      <c r="C37" s="17">
        <v>2021</v>
      </c>
      <c r="D37" s="17">
        <v>2022</v>
      </c>
      <c r="E37" s="17">
        <v>2023</v>
      </c>
      <c r="F37" s="17">
        <v>2024</v>
      </c>
      <c r="G37" s="17">
        <v>2025</v>
      </c>
      <c r="H37" s="17"/>
      <c r="I37" s="19" t="s">
        <v>11</v>
      </c>
      <c r="J37" s="19" t="s">
        <v>12</v>
      </c>
      <c r="K37" s="19" t="s">
        <v>13</v>
      </c>
      <c r="L37" s="19" t="s">
        <v>14</v>
      </c>
      <c r="M37" s="19" t="s">
        <v>15</v>
      </c>
      <c r="N37" s="19" t="s">
        <v>16</v>
      </c>
      <c r="O37" s="19" t="s">
        <v>17</v>
      </c>
      <c r="P37" s="19" t="s">
        <v>18</v>
      </c>
      <c r="Q37" s="19" t="s">
        <v>19</v>
      </c>
      <c r="R37" s="19" t="s">
        <v>20</v>
      </c>
      <c r="S37" s="17"/>
    </row>
    <row r="38" spans="1:19" x14ac:dyDescent="0.2">
      <c r="B38" t="s">
        <v>35</v>
      </c>
      <c r="C38" s="11">
        <v>7044.35</v>
      </c>
      <c r="D38" s="11">
        <v>6754.9</v>
      </c>
      <c r="E38" s="11">
        <v>16204.27</v>
      </c>
      <c r="F38" s="11">
        <v>33117.53</v>
      </c>
      <c r="G38" s="11">
        <v>9578.17</v>
      </c>
      <c r="I38" s="10">
        <f t="shared" ref="I38:R38" si="9">1.1*I22</f>
        <v>15090.154200000001</v>
      </c>
      <c r="J38" s="10">
        <f t="shared" si="9"/>
        <v>15090.154200000001</v>
      </c>
      <c r="K38" s="10">
        <f t="shared" si="9"/>
        <v>15090.154200000001</v>
      </c>
      <c r="L38" s="10">
        <f t="shared" si="9"/>
        <v>15090.154200000001</v>
      </c>
      <c r="M38" s="10">
        <f t="shared" si="9"/>
        <v>15090.154200000001</v>
      </c>
      <c r="N38" s="10">
        <f t="shared" si="9"/>
        <v>15090.154200000001</v>
      </c>
      <c r="O38" s="10">
        <f t="shared" si="9"/>
        <v>15101.418200000002</v>
      </c>
      <c r="P38" s="10">
        <f t="shared" si="9"/>
        <v>15101.418200000002</v>
      </c>
      <c r="Q38" s="10">
        <f t="shared" si="9"/>
        <v>15101.418200000002</v>
      </c>
      <c r="R38" s="10">
        <f t="shared" si="9"/>
        <v>15101.418200000002</v>
      </c>
    </row>
    <row r="39" spans="1:19" x14ac:dyDescent="0.2">
      <c r="B39" s="1" t="s">
        <v>26</v>
      </c>
      <c r="C39" s="3">
        <f>C38/C13</f>
        <v>0.26585261838986762</v>
      </c>
      <c r="D39" s="3">
        <f t="shared" ref="D39:F39" si="10">D38/D13</f>
        <v>0.16227208302303792</v>
      </c>
      <c r="E39" s="3">
        <f t="shared" si="10"/>
        <v>0.18443998515763185</v>
      </c>
      <c r="F39" s="3">
        <f t="shared" si="10"/>
        <v>0.3075659245032793</v>
      </c>
      <c r="G39" s="3">
        <f>G38/G13</f>
        <v>7.4340917141696022E-2</v>
      </c>
      <c r="I39" s="3">
        <f t="shared" ref="I39:R39" si="11">I38/I13</f>
        <v>9.4746309440155746E-2</v>
      </c>
      <c r="J39" s="3">
        <f t="shared" si="11"/>
        <v>8.2412608045781599E-2</v>
      </c>
      <c r="K39" s="3">
        <f t="shared" si="11"/>
        <v>7.2020406558259337E-2</v>
      </c>
      <c r="L39" s="3">
        <f t="shared" si="11"/>
        <v>6.3464891457069211E-2</v>
      </c>
      <c r="M39" s="3">
        <f t="shared" si="11"/>
        <v>5.635240813670743E-2</v>
      </c>
      <c r="N39" s="3">
        <f t="shared" si="11"/>
        <v>4.8505093790426432E-2</v>
      </c>
      <c r="O39" s="3">
        <f t="shared" si="11"/>
        <v>4.5544444336649559E-2</v>
      </c>
      <c r="P39" s="3">
        <f t="shared" si="11"/>
        <v>4.0966434153220196E-2</v>
      </c>
      <c r="Q39" s="3">
        <f t="shared" si="11"/>
        <v>3.7187194411065161E-2</v>
      </c>
      <c r="R39" s="3">
        <f t="shared" si="11"/>
        <v>3.3851112904016871E-2</v>
      </c>
    </row>
    <row r="41" spans="1:19" x14ac:dyDescent="0.2">
      <c r="B41" t="s">
        <v>36</v>
      </c>
      <c r="C41" s="10">
        <v>-2511.1799999999998</v>
      </c>
      <c r="D41" s="10">
        <v>-1531</v>
      </c>
      <c r="E41" s="10">
        <v>740.39</v>
      </c>
      <c r="F41" s="10">
        <v>2582.87</v>
      </c>
      <c r="G41" s="10">
        <v>3769.29</v>
      </c>
      <c r="I41" s="10">
        <v>4040.2325377571142</v>
      </c>
      <c r="J41" s="10">
        <v>5132.7447578007905</v>
      </c>
      <c r="K41" s="10">
        <v>6478.2073112807011</v>
      </c>
      <c r="L41" s="10">
        <v>7816.7747212044796</v>
      </c>
      <c r="M41" s="10">
        <v>9274.9611142501599</v>
      </c>
      <c r="N41" s="10">
        <v>10728.433918255983</v>
      </c>
      <c r="O41" s="10">
        <v>12424.82070202557</v>
      </c>
      <c r="P41" s="10">
        <v>14414.214247464337</v>
      </c>
      <c r="Q41" s="10">
        <v>16758.438493180314</v>
      </c>
      <c r="R41" s="10">
        <v>19533.907704580895</v>
      </c>
    </row>
    <row r="42" spans="1:19" x14ac:dyDescent="0.2">
      <c r="B42" t="s">
        <v>37</v>
      </c>
      <c r="C42" s="10"/>
      <c r="D42" s="10">
        <f>D41-C41</f>
        <v>980.17999999999984</v>
      </c>
      <c r="E42" s="10">
        <f>E41-D41</f>
        <v>2271.39</v>
      </c>
      <c r="F42" s="10">
        <f>F41-E41</f>
        <v>1842.48</v>
      </c>
      <c r="G42" s="10">
        <f>G41-F41</f>
        <v>1186.42</v>
      </c>
      <c r="I42" s="10">
        <f>I41-G41</f>
        <v>270.94253775711422</v>
      </c>
      <c r="J42" s="10">
        <f t="shared" ref="J42:R42" si="12">J41-I41</f>
        <v>1092.5122200436763</v>
      </c>
      <c r="K42" s="10">
        <f t="shared" si="12"/>
        <v>1345.4625534799106</v>
      </c>
      <c r="L42" s="10">
        <f t="shared" si="12"/>
        <v>1338.5674099237785</v>
      </c>
      <c r="M42" s="10">
        <f t="shared" si="12"/>
        <v>1458.1863930456802</v>
      </c>
      <c r="N42" s="10">
        <f t="shared" si="12"/>
        <v>1453.4728040058235</v>
      </c>
      <c r="O42" s="10">
        <f t="shared" si="12"/>
        <v>1696.3867837695871</v>
      </c>
      <c r="P42" s="10">
        <f t="shared" si="12"/>
        <v>1989.3935454387665</v>
      </c>
      <c r="Q42" s="10">
        <f t="shared" si="12"/>
        <v>2344.2242457159773</v>
      </c>
      <c r="R42" s="10">
        <f t="shared" si="12"/>
        <v>2775.4692114005811</v>
      </c>
    </row>
    <row r="43" spans="1:19" x14ac:dyDescent="0.2">
      <c r="B43" s="1" t="s">
        <v>26</v>
      </c>
      <c r="D43" s="4">
        <f>D42/D13</f>
        <v>2.3546736493141467E-2</v>
      </c>
      <c r="E43" s="4">
        <f>E42/E13</f>
        <v>2.5853379256652313E-2</v>
      </c>
      <c r="F43" s="4">
        <f>F42/F13</f>
        <v>1.711130221906048E-2</v>
      </c>
      <c r="G43" s="4">
        <f>G42/G13</f>
        <v>9.2083927217047716E-3</v>
      </c>
      <c r="I43" s="4">
        <f t="shared" ref="I43:R43" si="13">I42/I13</f>
        <v>1.7011625714756862E-3</v>
      </c>
      <c r="J43" s="4">
        <f t="shared" si="13"/>
        <v>5.9665912079073513E-3</v>
      </c>
      <c r="K43" s="4">
        <f t="shared" si="13"/>
        <v>6.4214559259133941E-3</v>
      </c>
      <c r="L43" s="4">
        <f t="shared" si="13"/>
        <v>5.6296333525062891E-3</v>
      </c>
      <c r="M43" s="4">
        <f t="shared" si="13"/>
        <v>5.4454257836744607E-3</v>
      </c>
      <c r="N43" s="4">
        <f t="shared" si="13"/>
        <v>4.6719757628544689E-3</v>
      </c>
      <c r="O43" s="4">
        <f t="shared" si="13"/>
        <v>5.1161415718440221E-3</v>
      </c>
      <c r="P43" s="4">
        <f t="shared" si="13"/>
        <v>5.3967354989254241E-3</v>
      </c>
      <c r="Q43" s="4">
        <f t="shared" si="13"/>
        <v>5.7726447684610591E-3</v>
      </c>
      <c r="R43" s="4">
        <f t="shared" si="13"/>
        <v>6.2214502235785861E-3</v>
      </c>
    </row>
    <row r="44" spans="1:19" x14ac:dyDescent="0.2">
      <c r="B44" s="1"/>
      <c r="D44" s="4"/>
      <c r="E44" s="4"/>
      <c r="F44" s="4"/>
      <c r="G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9" s="7" customFormat="1" ht="16" x14ac:dyDescent="0.2">
      <c r="A45" s="30"/>
      <c r="B45" s="31" t="s">
        <v>38</v>
      </c>
      <c r="C45" s="31"/>
      <c r="D45" s="32">
        <f>D26*(1-D35)+D22-D38-D42</f>
        <v>5539.1078794928908</v>
      </c>
      <c r="E45" s="32">
        <f>E26*(1-E35)+E22-E38-E42</f>
        <v>29568.433702315222</v>
      </c>
      <c r="F45" s="32">
        <f>F26*(1-F35)+F22-F38-F42</f>
        <v>11458.580061033495</v>
      </c>
      <c r="G45" s="32">
        <f>G26*(1-G35)+G22-G38-G42</f>
        <v>46784.160774083612</v>
      </c>
      <c r="H45" s="30"/>
      <c r="I45" s="33">
        <f t="shared" ref="I45:R45" si="14">I26*(1-I35)+I22-I38-I41</f>
        <v>47385.62360344037</v>
      </c>
      <c r="J45" s="33">
        <f t="shared" si="14"/>
        <v>54194.70481375885</v>
      </c>
      <c r="K45" s="33">
        <f t="shared" si="14"/>
        <v>61607.859386491124</v>
      </c>
      <c r="L45" s="33">
        <f t="shared" si="14"/>
        <v>69632.706760295507</v>
      </c>
      <c r="M45" s="33">
        <f t="shared" si="14"/>
        <v>78122.9022977727</v>
      </c>
      <c r="N45" s="33">
        <f t="shared" si="14"/>
        <v>91030.884166981326</v>
      </c>
      <c r="O45" s="33">
        <f t="shared" si="14"/>
        <v>96119.574394233656</v>
      </c>
      <c r="P45" s="33">
        <f t="shared" si="14"/>
        <v>106413.46364286946</v>
      </c>
      <c r="Q45" s="33">
        <f t="shared" si="14"/>
        <v>116488.16807033523</v>
      </c>
      <c r="R45" s="33">
        <f t="shared" si="14"/>
        <v>126979.66297581742</v>
      </c>
      <c r="S45" s="30"/>
    </row>
    <row r="46" spans="1:19" s="7" customFormat="1" ht="16" x14ac:dyDescent="0.2">
      <c r="A46" s="30"/>
      <c r="B46" s="34" t="s">
        <v>39</v>
      </c>
      <c r="C46" s="30"/>
      <c r="D46" s="35"/>
      <c r="E46" s="35"/>
      <c r="F46" s="35"/>
      <c r="G46" s="35"/>
      <c r="H46" s="35"/>
      <c r="I46" s="36">
        <f>YEARFRAC(F3,F4)</f>
        <v>0.24166666666666667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spans="1:19" s="7" customFormat="1" ht="16" x14ac:dyDescent="0.2">
      <c r="A47" s="30"/>
      <c r="B47" s="34" t="s">
        <v>40</v>
      </c>
      <c r="C47" s="36"/>
      <c r="D47" s="36"/>
      <c r="E47" s="36"/>
      <c r="F47" s="36"/>
      <c r="G47" s="36"/>
      <c r="H47" s="36">
        <f>G47+1</f>
        <v>1</v>
      </c>
      <c r="I47" s="36">
        <f>I46/2</f>
        <v>0.12083333333333333</v>
      </c>
      <c r="J47" s="36">
        <f>I47+0.5</f>
        <v>0.62083333333333335</v>
      </c>
      <c r="K47" s="36">
        <f t="shared" ref="K47:R47" si="15">J47+1</f>
        <v>1.6208333333333333</v>
      </c>
      <c r="L47" s="36">
        <f t="shared" si="15"/>
        <v>2.6208333333333336</v>
      </c>
      <c r="M47" s="36">
        <f t="shared" si="15"/>
        <v>3.6208333333333336</v>
      </c>
      <c r="N47" s="36">
        <f t="shared" si="15"/>
        <v>4.6208333333333336</v>
      </c>
      <c r="O47" s="36">
        <f t="shared" si="15"/>
        <v>5.6208333333333336</v>
      </c>
      <c r="P47" s="36">
        <f t="shared" si="15"/>
        <v>6.6208333333333336</v>
      </c>
      <c r="Q47" s="36">
        <f t="shared" si="15"/>
        <v>7.6208333333333336</v>
      </c>
      <c r="R47" s="36">
        <f t="shared" si="15"/>
        <v>8.6208333333333336</v>
      </c>
      <c r="S47" s="30"/>
    </row>
    <row r="48" spans="1:19" s="8" customFormat="1" ht="16" x14ac:dyDescent="0.2">
      <c r="A48" s="37"/>
      <c r="B48" s="38" t="s">
        <v>41</v>
      </c>
      <c r="C48" s="37"/>
      <c r="D48" s="39"/>
      <c r="E48" s="39"/>
      <c r="F48" s="39"/>
      <c r="G48" s="39"/>
      <c r="H48" s="37"/>
      <c r="I48" s="40">
        <f t="shared" ref="I48:R48" si="16">I45/POWER((1+$C$8),I47)</f>
        <v>46602.880970985803</v>
      </c>
      <c r="J48" s="40">
        <f t="shared" si="16"/>
        <v>49749.636279104699</v>
      </c>
      <c r="K48" s="40">
        <f t="shared" si="16"/>
        <v>49272.313413407224</v>
      </c>
      <c r="L48" s="40">
        <f t="shared" si="16"/>
        <v>48519.22903848422</v>
      </c>
      <c r="M48" s="40">
        <f t="shared" si="16"/>
        <v>47425.592214157361</v>
      </c>
      <c r="N48" s="40">
        <f t="shared" si="16"/>
        <v>48145.63667480657</v>
      </c>
      <c r="O48" s="40">
        <f t="shared" si="16"/>
        <v>44290.827243034662</v>
      </c>
      <c r="P48" s="40">
        <f t="shared" si="16"/>
        <v>42720.10501399717</v>
      </c>
      <c r="Q48" s="40">
        <f t="shared" si="16"/>
        <v>40742.842719301683</v>
      </c>
      <c r="R48" s="40">
        <f t="shared" si="16"/>
        <v>38693.450660890114</v>
      </c>
      <c r="S48" s="63"/>
    </row>
    <row r="49" spans="1:19" s="8" customFormat="1" ht="16" x14ac:dyDescent="0.2">
      <c r="A49" s="41"/>
      <c r="B49" s="42" t="s">
        <v>42</v>
      </c>
      <c r="C49" s="43">
        <f>SUM(I48:R48)</f>
        <v>456162.51422816957</v>
      </c>
      <c r="D49" s="44"/>
      <c r="E49" s="44"/>
      <c r="F49" s="44"/>
      <c r="G49" s="44"/>
      <c r="H49" s="41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1"/>
    </row>
    <row r="50" spans="1:19" s="8" customFormat="1" x14ac:dyDescent="0.2"/>
    <row r="51" spans="1:19" s="8" customFormat="1" x14ac:dyDescent="0.2"/>
    <row r="52" spans="1:19" x14ac:dyDescent="0.2">
      <c r="C52" s="8"/>
      <c r="D52" s="2"/>
      <c r="E52" s="2"/>
      <c r="F52" s="2"/>
      <c r="G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9" x14ac:dyDescent="0.2">
      <c r="D53" s="2"/>
      <c r="E53" s="2" t="s">
        <v>43</v>
      </c>
      <c r="F53" s="2"/>
      <c r="G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9" x14ac:dyDescent="0.2">
      <c r="D54" s="2"/>
      <c r="E54" s="2"/>
      <c r="F54" s="2"/>
      <c r="G54" s="2"/>
    </row>
    <row r="55" spans="1:19" s="7" customFormat="1" ht="16" x14ac:dyDescent="0.2">
      <c r="A55" s="49"/>
      <c r="B55" s="50" t="s">
        <v>44</v>
      </c>
      <c r="C55" s="51">
        <f>R45*(1+C9)/(C8-C9)</f>
        <v>2022684.8969599244</v>
      </c>
      <c r="D55" s="9"/>
      <c r="E55" s="9"/>
      <c r="F55" s="9"/>
      <c r="G55" s="9"/>
    </row>
    <row r="56" spans="1:19" s="7" customFormat="1" ht="16" x14ac:dyDescent="0.2">
      <c r="A56" s="52"/>
      <c r="B56" s="53" t="s">
        <v>45</v>
      </c>
      <c r="C56" s="54">
        <f>C55/POWER(1+C8, 10)</f>
        <v>509642.95781877247</v>
      </c>
      <c r="D56" s="9"/>
      <c r="E56" s="9"/>
      <c r="F56" s="9"/>
      <c r="G56" s="9"/>
    </row>
    <row r="58" spans="1:19" s="8" customFormat="1" ht="16" x14ac:dyDescent="0.2">
      <c r="A58" s="55"/>
      <c r="B58" s="56" t="s">
        <v>46</v>
      </c>
      <c r="C58" s="51">
        <f>SUM(I48:R48) + C56</f>
        <v>965805.47204694198</v>
      </c>
    </row>
    <row r="59" spans="1:19" s="8" customFormat="1" ht="16" x14ac:dyDescent="0.2">
      <c r="A59" s="57"/>
      <c r="B59" s="58" t="s">
        <v>47</v>
      </c>
      <c r="C59" s="54">
        <f>C58-264856.82</f>
        <v>700948.65204694192</v>
      </c>
    </row>
    <row r="61" spans="1:19" x14ac:dyDescent="0.2">
      <c r="A61" s="55"/>
      <c r="B61" s="59" t="s">
        <v>48</v>
      </c>
      <c r="C61" s="60">
        <v>791846625</v>
      </c>
    </row>
    <row r="62" spans="1:19" x14ac:dyDescent="0.2">
      <c r="A62" s="57"/>
      <c r="B62" s="61" t="s">
        <v>49</v>
      </c>
      <c r="C62" s="62">
        <f>C59*100000/C61</f>
        <v>88.520760197335179</v>
      </c>
    </row>
    <row r="66" ht="35.25" customHeight="1" x14ac:dyDescent="0.2"/>
  </sheetData>
  <pageMargins left="0.7" right="0.7" top="0.75" bottom="0.75" header="0.3" footer="0.3"/>
  <pageSetup fitToHeight="0" orientation="landscape"/>
  <ignoredErrors>
    <ignoredError sqref="I46:I47" evalError="1"/>
    <ignoredError sqref="E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adwaiyy11@gmail.com</cp:lastModifiedBy>
  <cp:revision/>
  <dcterms:created xsi:type="dcterms:W3CDTF">2025-09-03T13:04:17Z</dcterms:created>
  <dcterms:modified xsi:type="dcterms:W3CDTF">2025-11-03T19:42:59Z</dcterms:modified>
  <cp:category/>
  <cp:contentStatus/>
</cp:coreProperties>
</file>